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10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color rgb="00B45309"/>
      <sz val="9"/>
    </font>
    <font>
      <name val="Arial"/>
      <b val="1"/>
    </font>
    <font>
      <name val="Arial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B1E2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164" fontId="5" fillId="0" borderId="1" pivotButton="0" quotePrefix="0" xfId="0"/>
    <xf numFmtId="0" fontId="6" fillId="0" borderId="1" applyAlignment="1" pivotButton="0" quotePrefix="0" xfId="0">
      <alignment vertical="center" wrapText="1"/>
    </xf>
    <xf numFmtId="0" fontId="4" fillId="3" borderId="1" pivotButton="0" quotePrefix="0" xfId="0"/>
    <xf numFmtId="164" fontId="4" fillId="3" borderId="1" pivotButton="0" quotePrefix="0" xfId="0"/>
    <xf numFmtId="164" fontId="5" fillId="3" borderId="1" pivotButton="0" quotePrefix="0" xfId="0"/>
    <xf numFmtId="0" fontId="6" fillId="3" borderId="1" applyAlignment="1" pivotButton="0" quotePrefix="0" xfId="0">
      <alignment vertical="center" wrapText="1"/>
    </xf>
    <xf numFmtId="0" fontId="0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0" fontId="3" fillId="2" borderId="0" pivotButton="0" quotePrefix="0" xfId="0"/>
    <xf numFmtId="0" fontId="8" fillId="0" borderId="0" applyAlignment="1" pivotButton="0" quotePrefix="0" xfId="0">
      <alignment wrapText="1"/>
    </xf>
    <xf numFmtId="0" fontId="7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0" fontId="9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14" customWidth="1" min="4" max="4"/>
    <col width="10" customWidth="1" min="5" max="5"/>
    <col width="13" customWidth="1" min="6" max="6"/>
    <col width="13" customWidth="1" min="7" max="7"/>
    <col width="15" customWidth="1" min="8" max="8"/>
    <col width="15" customWidth="1" min="9" max="9"/>
    <col width="13" customWidth="1" min="10" max="10"/>
    <col width="10" customWidth="1" min="11" max="11"/>
    <col width="42" customWidth="1" min="12" max="12"/>
  </cols>
  <sheetData>
    <row r="1">
      <c r="A1" s="1" t="inlineStr">
        <is>
          <t>TecnoMotos LC - Primer pedido de mercancia (12/09/2026)</t>
        </is>
      </c>
    </row>
    <row r="2">
      <c r="A2" s="2" t="inlineStr">
        <is>
          <t>Formula de precio de venta: Costo x 1.19 (IVA) x 1.40 (margen) = Costo x 1.666, redondeado a la centena mas cercana. Ajustable en columna H.</t>
        </is>
      </c>
    </row>
    <row r="4" ht="30" customHeight="1">
      <c r="A4" s="3" t="inlineStr">
        <is>
          <t>Codigo</t>
        </is>
      </c>
      <c r="B4" s="3" t="inlineStr">
        <is>
          <t>Producto</t>
        </is>
      </c>
      <c r="C4" s="3" t="inlineStr">
        <is>
          <t>Categoria</t>
        </is>
      </c>
      <c r="D4" s="3" t="inlineStr">
        <is>
          <t>Proveedor</t>
        </is>
      </c>
      <c r="E4" s="3" t="inlineStr">
        <is>
          <t>Cantidad</t>
        </is>
      </c>
      <c r="F4" s="3" t="inlineStr">
        <is>
          <t>Costo unitario</t>
        </is>
      </c>
      <c r="G4" s="3" t="inlineStr">
        <is>
          <t>Costo total</t>
        </is>
      </c>
      <c r="H4" s="3" t="inlineStr">
        <is>
          <t>Precio venta unitario</t>
        </is>
      </c>
      <c r="I4" s="3" t="inlineStr">
        <is>
          <t>Precio venta total</t>
        </is>
      </c>
      <c r="J4" s="3" t="inlineStr">
        <is>
          <t>Margen total $</t>
        </is>
      </c>
      <c r="K4" s="3" t="inlineStr">
        <is>
          <t>Stock minimo sugerido</t>
        </is>
      </c>
      <c r="L4" s="3" t="inlineStr">
        <is>
          <t>Nota</t>
        </is>
      </c>
    </row>
    <row r="5">
      <c r="A5" s="4" t="inlineStr">
        <is>
          <t>TRO-PAQU</t>
        </is>
      </c>
      <c r="B5" s="4" t="inlineStr">
        <is>
          <t>Trompo stop (paquete x10)</t>
        </is>
      </c>
      <c r="C5" s="4" t="inlineStr">
        <is>
          <t>Varios</t>
        </is>
      </c>
      <c r="D5" s="4" t="inlineStr">
        <is>
          <t>Premium Racing</t>
        </is>
      </c>
      <c r="E5" s="4" t="n">
        <v>1</v>
      </c>
      <c r="F5" s="5" t="n">
        <v>18000</v>
      </c>
      <c r="G5" s="6">
        <f>E5*F5</f>
        <v/>
      </c>
      <c r="H5" s="6">
        <f>ROUND(F5*1.19*1.4,-2)</f>
        <v/>
      </c>
      <c r="I5" s="6">
        <f>E5*H5</f>
        <v/>
      </c>
      <c r="J5" s="6">
        <f>I5-G5</f>
        <v/>
      </c>
      <c r="K5" s="4" t="n">
        <v>1</v>
      </c>
      <c r="L5" s="7" t="inlineStr"/>
    </row>
    <row r="6">
      <c r="A6" s="4" t="inlineStr">
        <is>
          <t>PAS-AKT110D</t>
        </is>
      </c>
      <c r="B6" s="4" t="inlineStr">
        <is>
          <t>Pastilla freno delantero AKT 110</t>
        </is>
      </c>
      <c r="C6" s="4" t="inlineStr">
        <is>
          <t>Frenos</t>
        </is>
      </c>
      <c r="D6" s="4" t="inlineStr">
        <is>
          <t>Premium Racing</t>
        </is>
      </c>
      <c r="E6" s="4" t="n">
        <v>10</v>
      </c>
      <c r="F6" s="5" t="n">
        <v>5000</v>
      </c>
      <c r="G6" s="6">
        <f>E6*F6</f>
        <v/>
      </c>
      <c r="H6" s="6">
        <f>ROUND(F6*1.19*1.4,-2)</f>
        <v/>
      </c>
      <c r="I6" s="6">
        <f>E6*H6</f>
        <v/>
      </c>
      <c r="J6" s="6">
        <f>I6-G6</f>
        <v/>
      </c>
      <c r="K6" s="4" t="n">
        <v>3</v>
      </c>
      <c r="L6" s="7" t="inlineStr"/>
    </row>
    <row r="7">
      <c r="A7" s="4" t="inlineStr">
        <is>
          <t>PAS-PULS135D</t>
        </is>
      </c>
      <c r="B7" s="4" t="inlineStr">
        <is>
          <t>Pastilla freno delantero Pulsar 135</t>
        </is>
      </c>
      <c r="C7" s="4" t="inlineStr">
        <is>
          <t>Frenos</t>
        </is>
      </c>
      <c r="D7" s="4" t="inlineStr">
        <is>
          <t>Premium Racing</t>
        </is>
      </c>
      <c r="E7" s="4" t="n">
        <v>10</v>
      </c>
      <c r="F7" s="5" t="n">
        <v>5000</v>
      </c>
      <c r="G7" s="6">
        <f>E7*F7</f>
        <v/>
      </c>
      <c r="H7" s="6">
        <f>ROUND(F7*1.19*1.4,-2)</f>
        <v/>
      </c>
      <c r="I7" s="6">
        <f>E7*H7</f>
        <v/>
      </c>
      <c r="J7" s="6">
        <f>I7-G7</f>
        <v/>
      </c>
      <c r="K7" s="4" t="n">
        <v>3</v>
      </c>
      <c r="L7" s="7" t="inlineStr"/>
    </row>
    <row r="8">
      <c r="A8" s="4" t="inlineStr">
        <is>
          <t>PAS-CBF150D</t>
        </is>
      </c>
      <c r="B8" s="4" t="inlineStr">
        <is>
          <t>Pastilla freno delantero CBF 150</t>
        </is>
      </c>
      <c r="C8" s="4" t="inlineStr">
        <is>
          <t>Frenos</t>
        </is>
      </c>
      <c r="D8" s="4" t="inlineStr">
        <is>
          <t>Premium Racing</t>
        </is>
      </c>
      <c r="E8" s="4" t="n">
        <v>1</v>
      </c>
      <c r="F8" s="5" t="n">
        <v>5000</v>
      </c>
      <c r="G8" s="6">
        <f>E8*F8</f>
        <v/>
      </c>
      <c r="H8" s="6">
        <f>ROUND(F8*1.19*1.4,-2)</f>
        <v/>
      </c>
      <c r="I8" s="6">
        <f>E8*H8</f>
        <v/>
      </c>
      <c r="J8" s="6">
        <f>I8-G8</f>
        <v/>
      </c>
      <c r="K8" s="4" t="n">
        <v>1</v>
      </c>
      <c r="L8" s="7" t="inlineStr"/>
    </row>
    <row r="9">
      <c r="A9" s="4" t="inlineStr">
        <is>
          <t>PAS-CRYPT115D</t>
        </is>
      </c>
      <c r="B9" s="4" t="inlineStr">
        <is>
          <t>Pastilla freno delantero Crypton T115 FI</t>
        </is>
      </c>
      <c r="C9" s="4" t="inlineStr">
        <is>
          <t>Frenos</t>
        </is>
      </c>
      <c r="D9" s="4" t="inlineStr">
        <is>
          <t>Premium Racing</t>
        </is>
      </c>
      <c r="E9" s="4" t="n">
        <v>5</v>
      </c>
      <c r="F9" s="5" t="n">
        <v>5000</v>
      </c>
      <c r="G9" s="6">
        <f>E9*F9</f>
        <v/>
      </c>
      <c r="H9" s="6">
        <f>ROUND(F9*1.19*1.4,-2)</f>
        <v/>
      </c>
      <c r="I9" s="6">
        <f>E9*H9</f>
        <v/>
      </c>
      <c r="J9" s="6">
        <f>I9-G9</f>
        <v/>
      </c>
      <c r="K9" s="4" t="n">
        <v>3</v>
      </c>
      <c r="L9" s="7" t="inlineStr"/>
    </row>
    <row r="10">
      <c r="A10" s="4" t="inlineStr">
        <is>
          <t>KIT-ECODLX</t>
        </is>
      </c>
      <c r="B10" s="4" t="inlineStr">
        <is>
          <t>Kit arrastre Eco Deluxe</t>
        </is>
      </c>
      <c r="C10" s="4" t="inlineStr">
        <is>
          <t>Transmision</t>
        </is>
      </c>
      <c r="D10" s="4" t="inlineStr">
        <is>
          <t>Premium Racing</t>
        </is>
      </c>
      <c r="E10" s="4" t="n">
        <v>2</v>
      </c>
      <c r="F10" s="5" t="n">
        <v>36000</v>
      </c>
      <c r="G10" s="6">
        <f>E10*F10</f>
        <v/>
      </c>
      <c r="H10" s="6">
        <f>ROUND(F10*1.19*1.4,-2)</f>
        <v/>
      </c>
      <c r="I10" s="6">
        <f>E10*H10</f>
        <v/>
      </c>
      <c r="J10" s="6">
        <f>I10-G10</f>
        <v/>
      </c>
      <c r="K10" s="4" t="n">
        <v>3</v>
      </c>
      <c r="L10" s="7" t="inlineStr"/>
    </row>
    <row r="11">
      <c r="A11" s="4" t="inlineStr">
        <is>
          <t>KIT-AKT110SWAVE</t>
        </is>
      </c>
      <c r="B11" s="4" t="inlineStr">
        <is>
          <t>Kit arrastre AKT 110S / Wave 100</t>
        </is>
      </c>
      <c r="C11" s="4" t="inlineStr">
        <is>
          <t>Transmision</t>
        </is>
      </c>
      <c r="D11" s="4" t="inlineStr">
        <is>
          <t>Premium Racing</t>
        </is>
      </c>
      <c r="E11" s="4" t="n">
        <v>2</v>
      </c>
      <c r="F11" s="5" t="n">
        <v>35000</v>
      </c>
      <c r="G11" s="6">
        <f>E11*F11</f>
        <v/>
      </c>
      <c r="H11" s="6">
        <f>ROUND(F11*1.19*1.4,-2)</f>
        <v/>
      </c>
      <c r="I11" s="6">
        <f>E11*H11</f>
        <v/>
      </c>
      <c r="J11" s="6">
        <f>I11-G11</f>
        <v/>
      </c>
      <c r="K11" s="4" t="n">
        <v>3</v>
      </c>
      <c r="L11" s="7" t="inlineStr"/>
    </row>
    <row r="12">
      <c r="A12" s="4" t="inlineStr">
        <is>
          <t>KIT-BOXERCT</t>
        </is>
      </c>
      <c r="B12" s="4" t="inlineStr">
        <is>
          <t>Kit arrastre Boxer CT / Platino</t>
        </is>
      </c>
      <c r="C12" s="4" t="inlineStr">
        <is>
          <t>Transmision</t>
        </is>
      </c>
      <c r="D12" s="4" t="inlineStr">
        <is>
          <t>Premium Racing</t>
        </is>
      </c>
      <c r="E12" s="4" t="n">
        <v>1</v>
      </c>
      <c r="F12" s="5" t="n">
        <v>39000</v>
      </c>
      <c r="G12" s="6">
        <f>E12*F12</f>
        <v/>
      </c>
      <c r="H12" s="6">
        <f>ROUND(F12*1.19*1.4,-2)</f>
        <v/>
      </c>
      <c r="I12" s="6">
        <f>E12*H12</f>
        <v/>
      </c>
      <c r="J12" s="6">
        <f>I12-G12</f>
        <v/>
      </c>
      <c r="K12" s="4" t="n">
        <v>1</v>
      </c>
      <c r="L12" s="7" t="inlineStr"/>
    </row>
    <row r="13">
      <c r="A13" s="4" t="inlineStr">
        <is>
          <t>KIT-DISC125</t>
        </is>
      </c>
      <c r="B13" s="4" t="inlineStr">
        <is>
          <t>Kit arrastre Discover 125 ST</t>
        </is>
      </c>
      <c r="C13" s="4" t="inlineStr">
        <is>
          <t>Transmision</t>
        </is>
      </c>
      <c r="D13" s="4" t="inlineStr">
        <is>
          <t>Premium Racing</t>
        </is>
      </c>
      <c r="E13" s="4" t="n">
        <v>3</v>
      </c>
      <c r="F13" s="5" t="n">
        <v>43000</v>
      </c>
      <c r="G13" s="6">
        <f>E13*F13</f>
        <v/>
      </c>
      <c r="H13" s="6">
        <f>ROUND(F13*1.19*1.4,-2)</f>
        <v/>
      </c>
      <c r="I13" s="6">
        <f>E13*H13</f>
        <v/>
      </c>
      <c r="J13" s="6">
        <f>I13-G13</f>
        <v/>
      </c>
      <c r="K13" s="4" t="n">
        <v>3</v>
      </c>
      <c r="L13" s="7" t="inlineStr"/>
    </row>
    <row r="14">
      <c r="A14" s="8" t="inlineStr">
        <is>
          <t>KIT-AKT125NKD</t>
        </is>
      </c>
      <c r="B14" s="8" t="inlineStr">
        <is>
          <t>Kit arrastre AKT 125 NKD</t>
        </is>
      </c>
      <c r="C14" s="8" t="inlineStr">
        <is>
          <t>Transmision</t>
        </is>
      </c>
      <c r="D14" s="8" t="inlineStr">
        <is>
          <t>Premium Racing</t>
        </is>
      </c>
      <c r="E14" s="8" t="n">
        <v>3</v>
      </c>
      <c r="F14" s="9" t="n">
        <v>36000</v>
      </c>
      <c r="G14" s="10">
        <f>E14*F14</f>
        <v/>
      </c>
      <c r="H14" s="10">
        <f>ROUND(F14*1.19*1.4,-2)</f>
        <v/>
      </c>
      <c r="I14" s="10">
        <f>E14*H14</f>
        <v/>
      </c>
      <c r="J14" s="10">
        <f>I14-G14</f>
        <v/>
      </c>
      <c r="K14" s="8" t="n">
        <v>3</v>
      </c>
      <c r="L14" s="11" t="inlineStr">
        <is>
          <t>Codigo original del proveedor (KIT-AKT0) duplicado con el de la fila 7 - se le asigno un codigo distinto</t>
        </is>
      </c>
    </row>
    <row r="15">
      <c r="A15" s="4" t="inlineStr">
        <is>
          <t>KIT-CRIPT115</t>
        </is>
      </c>
      <c r="B15" s="4" t="inlineStr">
        <is>
          <t>Kit arrastre Cripton T115 FI</t>
        </is>
      </c>
      <c r="C15" s="4" t="inlineStr">
        <is>
          <t>Transmision</t>
        </is>
      </c>
      <c r="D15" s="4" t="inlineStr">
        <is>
          <t>Premium Racing</t>
        </is>
      </c>
      <c r="E15" s="4" t="n">
        <v>1</v>
      </c>
      <c r="F15" s="5" t="n">
        <v>39000</v>
      </c>
      <c r="G15" s="6">
        <f>E15*F15</f>
        <v/>
      </c>
      <c r="H15" s="6">
        <f>ROUND(F15*1.19*1.4,-2)</f>
        <v/>
      </c>
      <c r="I15" s="6">
        <f>E15*H15</f>
        <v/>
      </c>
      <c r="J15" s="6">
        <f>I15-G15</f>
        <v/>
      </c>
      <c r="K15" s="4" t="n">
        <v>1</v>
      </c>
      <c r="L15" s="7" t="inlineStr"/>
    </row>
    <row r="16">
      <c r="A16" s="4" t="inlineStr">
        <is>
          <t>GP0040</t>
        </is>
      </c>
      <c r="B16" s="4" t="inlineStr">
        <is>
          <t>Banda freno Pulsar's</t>
        </is>
      </c>
      <c r="C16" s="4" t="inlineStr">
        <is>
          <t>Frenos</t>
        </is>
      </c>
      <c r="D16" s="4" t="inlineStr">
        <is>
          <t>MotoGP</t>
        </is>
      </c>
      <c r="E16" s="4" t="n">
        <v>10</v>
      </c>
      <c r="F16" s="5" t="n">
        <v>12000</v>
      </c>
      <c r="G16" s="6">
        <f>E16*F16</f>
        <v/>
      </c>
      <c r="H16" s="6">
        <f>ROUND(F16*1.19*1.4,-2)</f>
        <v/>
      </c>
      <c r="I16" s="6">
        <f>E16*H16</f>
        <v/>
      </c>
      <c r="J16" s="6">
        <f>I16-G16</f>
        <v/>
      </c>
      <c r="K16" s="4" t="n">
        <v>3</v>
      </c>
      <c r="L16" s="7" t="inlineStr"/>
    </row>
    <row r="17">
      <c r="A17" s="4" t="inlineStr">
        <is>
          <t>GP0002</t>
        </is>
      </c>
      <c r="B17" s="4" t="inlineStr">
        <is>
          <t>Bujia NGK CR8E Pulsar/CB 110</t>
        </is>
      </c>
      <c r="C17" s="4" t="inlineStr">
        <is>
          <t>Electrico</t>
        </is>
      </c>
      <c r="D17" s="4" t="inlineStr">
        <is>
          <t>MotoGP</t>
        </is>
      </c>
      <c r="E17" s="4" t="n">
        <v>10</v>
      </c>
      <c r="F17" s="5" t="n">
        <v>4500</v>
      </c>
      <c r="G17" s="6">
        <f>E17*F17</f>
        <v/>
      </c>
      <c r="H17" s="6">
        <f>ROUND(F17*1.19*1.4,-2)</f>
        <v/>
      </c>
      <c r="I17" s="6">
        <f>E17*H17</f>
        <v/>
      </c>
      <c r="J17" s="6">
        <f>I17-G17</f>
        <v/>
      </c>
      <c r="K17" s="4" t="n">
        <v>3</v>
      </c>
      <c r="L17" s="7" t="inlineStr"/>
    </row>
    <row r="18">
      <c r="A18" s="4" t="inlineStr">
        <is>
          <t>GP0003</t>
        </is>
      </c>
      <c r="B18" s="4" t="inlineStr">
        <is>
          <t>Bujia NGK D8EA AKT 125</t>
        </is>
      </c>
      <c r="C18" s="4" t="inlineStr">
        <is>
          <t>Electrico</t>
        </is>
      </c>
      <c r="D18" s="4" t="inlineStr">
        <is>
          <t>MotoGP</t>
        </is>
      </c>
      <c r="E18" s="4" t="n">
        <v>10</v>
      </c>
      <c r="F18" s="5" t="n">
        <v>4500</v>
      </c>
      <c r="G18" s="6">
        <f>E18*F18</f>
        <v/>
      </c>
      <c r="H18" s="6">
        <f>ROUND(F18*1.19*1.4,-2)</f>
        <v/>
      </c>
      <c r="I18" s="6">
        <f>E18*H18</f>
        <v/>
      </c>
      <c r="J18" s="6">
        <f>I18-G18</f>
        <v/>
      </c>
      <c r="K18" s="4" t="n">
        <v>3</v>
      </c>
      <c r="L18" s="7" t="inlineStr"/>
    </row>
    <row r="19">
      <c r="A19" s="4" t="inlineStr">
        <is>
          <t>GP0098</t>
        </is>
      </c>
      <c r="B19" s="4" t="inlineStr">
        <is>
          <t>Kit retenes AKT 125 NKD (juego x5 pcs)</t>
        </is>
      </c>
      <c r="C19" s="4" t="inlineStr">
        <is>
          <t>Motor</t>
        </is>
      </c>
      <c r="D19" s="4" t="inlineStr">
        <is>
          <t>MotoGP</t>
        </is>
      </c>
      <c r="E19" s="4" t="n">
        <v>10</v>
      </c>
      <c r="F19" s="5" t="n">
        <v>7500</v>
      </c>
      <c r="G19" s="6">
        <f>E19*F19</f>
        <v/>
      </c>
      <c r="H19" s="6">
        <f>ROUND(F19*1.19*1.4,-2)</f>
        <v/>
      </c>
      <c r="I19" s="6">
        <f>E19*H19</f>
        <v/>
      </c>
      <c r="J19" s="6">
        <f>I19-G19</f>
        <v/>
      </c>
      <c r="K19" s="4" t="n">
        <v>3</v>
      </c>
      <c r="L19" s="7" t="inlineStr"/>
    </row>
    <row r="20">
      <c r="A20" s="4" t="inlineStr">
        <is>
          <t>GP0099</t>
        </is>
      </c>
      <c r="B20" s="4" t="inlineStr">
        <is>
          <t>Kit retenes Boxer CT 100 (juego x5 pcs)</t>
        </is>
      </c>
      <c r="C20" s="4" t="inlineStr">
        <is>
          <t>Motor</t>
        </is>
      </c>
      <c r="D20" s="4" t="inlineStr">
        <is>
          <t>MotoGP</t>
        </is>
      </c>
      <c r="E20" s="4" t="n">
        <v>10</v>
      </c>
      <c r="F20" s="5" t="n">
        <v>7500</v>
      </c>
      <c r="G20" s="6">
        <f>E20*F20</f>
        <v/>
      </c>
      <c r="H20" s="6">
        <f>ROUND(F20*1.19*1.4,-2)</f>
        <v/>
      </c>
      <c r="I20" s="6">
        <f>E20*H20</f>
        <v/>
      </c>
      <c r="J20" s="6">
        <f>I20-G20</f>
        <v/>
      </c>
      <c r="K20" s="4" t="n">
        <v>3</v>
      </c>
      <c r="L20" s="7" t="inlineStr"/>
    </row>
    <row r="21">
      <c r="A21" s="4" t="inlineStr">
        <is>
          <t>GP0097</t>
        </is>
      </c>
      <c r="B21" s="4" t="inlineStr">
        <is>
          <t>Kit retenes Eco Deluxe con starter (juego x6 pcs)</t>
        </is>
      </c>
      <c r="C21" s="4" t="inlineStr">
        <is>
          <t>Motor</t>
        </is>
      </c>
      <c r="D21" s="4" t="inlineStr">
        <is>
          <t>MotoGP</t>
        </is>
      </c>
      <c r="E21" s="4" t="n">
        <v>10</v>
      </c>
      <c r="F21" s="5" t="n">
        <v>7500</v>
      </c>
      <c r="G21" s="6">
        <f>E21*F21</f>
        <v/>
      </c>
      <c r="H21" s="6">
        <f>ROUND(F21*1.19*1.4,-2)</f>
        <v/>
      </c>
      <c r="I21" s="6">
        <f>E21*H21</f>
        <v/>
      </c>
      <c r="J21" s="6">
        <f>I21-G21</f>
        <v/>
      </c>
      <c r="K21" s="4" t="n">
        <v>3</v>
      </c>
      <c r="L21" s="7" t="inlineStr"/>
    </row>
    <row r="22">
      <c r="A22" s="4" t="inlineStr">
        <is>
          <t>GP0066</t>
        </is>
      </c>
      <c r="B22" s="4" t="inlineStr">
        <is>
          <t>Pastillas Suzuki Viva R</t>
        </is>
      </c>
      <c r="C22" s="4" t="inlineStr">
        <is>
          <t>Frenos</t>
        </is>
      </c>
      <c r="D22" s="4" t="inlineStr">
        <is>
          <t>MotoGP</t>
        </is>
      </c>
      <c r="E22" s="4" t="n">
        <v>5</v>
      </c>
      <c r="F22" s="5" t="n">
        <v>8000</v>
      </c>
      <c r="G22" s="6">
        <f>E22*F22</f>
        <v/>
      </c>
      <c r="H22" s="6">
        <f>ROUND(F22*1.19*1.4,-2)</f>
        <v/>
      </c>
      <c r="I22" s="6">
        <f>E22*H22</f>
        <v/>
      </c>
      <c r="J22" s="6">
        <f>I22-G22</f>
        <v/>
      </c>
      <c r="K22" s="4" t="n">
        <v>3</v>
      </c>
      <c r="L22" s="7" t="inlineStr"/>
    </row>
    <row r="23">
      <c r="A23" s="8" t="inlineStr">
        <is>
          <t>GP-BUJCH7AS</t>
        </is>
      </c>
      <c r="B23" s="8" t="inlineStr">
        <is>
          <t>Bujia CH7AS Eco (anotada a mano en la cotizacion)</t>
        </is>
      </c>
      <c r="C23" s="8" t="inlineStr">
        <is>
          <t>Electrico</t>
        </is>
      </c>
      <c r="D23" s="8" t="inlineStr">
        <is>
          <t>MotoGP</t>
        </is>
      </c>
      <c r="E23" s="8" t="n">
        <v>10</v>
      </c>
      <c r="F23" s="9" t="n">
        <v>4500</v>
      </c>
      <c r="G23" s="10">
        <f>E23*F23</f>
        <v/>
      </c>
      <c r="H23" s="10">
        <f>ROUND(F23*1.19*1.4,-2)</f>
        <v/>
      </c>
      <c r="I23" s="10">
        <f>E23*H23</f>
        <v/>
      </c>
      <c r="J23" s="10">
        <f>I23-G23</f>
        <v/>
      </c>
      <c r="K23" s="8" t="n">
        <v>3</v>
      </c>
      <c r="L23" s="11" t="inlineStr">
        <is>
          <t>Cantidad y precio escritos a mano y dificiles de leer - CONFIRMAR con el proveedor antes de dar por buena esta fila</t>
        </is>
      </c>
    </row>
    <row r="24">
      <c r="A24" s="12" t="n"/>
      <c r="B24" s="12" t="n"/>
      <c r="C24" s="12" t="n"/>
      <c r="D24" s="12" t="n"/>
      <c r="E24" s="12" t="n"/>
      <c r="F24" s="13" t="inlineStr">
        <is>
          <t>TOTALES</t>
        </is>
      </c>
      <c r="G24" s="14">
        <f>SUM(G5:G23)</f>
        <v/>
      </c>
      <c r="H24" s="12" t="n"/>
      <c r="I24" s="14">
        <f>SUM(I5:I23)</f>
        <v/>
      </c>
      <c r="J24" s="14">
        <f>SUM(J5:J23)</f>
        <v/>
      </c>
      <c r="K24" s="12" t="n"/>
      <c r="L24" s="12" t="n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5" customWidth="1" min="3" max="3"/>
    <col width="5" customWidth="1" min="4" max="4"/>
  </cols>
  <sheetData>
    <row r="1">
      <c r="A1" s="1" t="inlineStr">
        <is>
          <t>Resumen del primer pedido</t>
        </is>
      </c>
    </row>
    <row r="3">
      <c r="A3" s="15" t="inlineStr">
        <is>
          <t>Documento</t>
        </is>
      </c>
      <c r="B3" s="15" t="inlineStr">
        <is>
          <t>Dato</t>
        </is>
      </c>
    </row>
    <row r="4">
      <c r="A4" s="16" t="inlineStr">
        <is>
          <t>Factura Premium Racing N.442 (12/09/2026)</t>
        </is>
      </c>
      <c r="B4" s="16" t="inlineStr">
        <is>
          <t>$605.000 - Estado: CREDITO (no pagada aun, Total Recibido $0)</t>
        </is>
      </c>
    </row>
    <row r="6">
      <c r="A6" s="16" t="inlineStr">
        <is>
          <t>Cotizacion MotoGP N.13904 (12/09/2026)</t>
        </is>
      </c>
      <c r="B6" s="16" t="inlineStr">
        <is>
          <t>$520.000 (total resaltado a mano en el papel)</t>
        </is>
      </c>
    </row>
    <row r="9">
      <c r="A9" s="17" t="inlineStr">
        <is>
          <t>Total costo invertido en este pedido</t>
        </is>
      </c>
      <c r="B9" s="18">
        <f>Productos!G24</f>
        <v/>
      </c>
    </row>
    <row r="10">
      <c r="A10" s="17" t="inlineStr">
        <is>
          <t>Valor de venta proyectado (costo+19%+40%)</t>
        </is>
      </c>
      <c r="B10" s="18">
        <f>Productos!I24</f>
        <v/>
      </c>
    </row>
    <row r="11">
      <c r="A11" s="17" t="inlineStr">
        <is>
          <t>Margen bruto proyectado ($)</t>
        </is>
      </c>
      <c r="B11" s="18">
        <f>Productos!J24</f>
        <v/>
      </c>
    </row>
    <row r="12">
      <c r="A12" s="17" t="inlineStr">
        <is>
          <t>Margen bruto proyectado (%)</t>
        </is>
      </c>
      <c r="B12" s="19">
        <f>B11/B9</f>
        <v/>
      </c>
    </row>
    <row r="15">
      <c r="A15" s="17" t="inlineStr">
        <is>
          <t>Puntos a revisar antes de cargar todo al POS:</t>
        </is>
      </c>
    </row>
    <row r="16" ht="28" customHeight="1">
      <c r="A16" s="20" t="inlineStr">
        <is>
          <t>1. Factura de Premium Racing (605.000) quedo A CREDITO - registrarla en el POS como compra con pago pendiente, no restarla del efectivo en caja.</t>
        </is>
      </c>
    </row>
    <row r="17" ht="28" customHeight="1">
      <c r="A17" s="20" t="inlineStr">
        <is>
          <t>2. El codigo KIT-AKT0 del proveedor Premium Racing estaba repetido en dos productos distintos (AKT110S/Wave100 y AKT125 NKD) - se les asigno codigo unico en esta hoja (obligatorio: el POS no permite codigos duplicados).</t>
        </is>
      </c>
    </row>
    <row r="18" ht="28" customHeight="1">
      <c r="A18" s="20" t="inlineStr">
        <is>
          <t>3. La linea 'Bujia CH7AS Eco' de la cotizacion MotoGP esta escrita a mano y es dificil de leer con certeza - confirmar cantidad y precio con el proveedor antes de darla por buena (queda resaltada en amarillo en la hoja Productos).</t>
        </is>
      </c>
    </row>
    <row r="19" ht="28" customHeight="1">
      <c r="A19" s="20" t="inlineStr">
        <is>
          <t>4. El subtotal impreso en la cotizacion MotoGP no cuadraba con la suma de las filas; el total resaltado a mano ($520.000) si cuadra si se incluye la fila de Bujia CH7AS Eco - se uso ese como referencia.</t>
        </is>
      </c>
    </row>
  </sheetData>
  <mergeCells count="6">
    <mergeCell ref="A1:D1"/>
    <mergeCell ref="A17:D17"/>
    <mergeCell ref="A18:D18"/>
    <mergeCell ref="A15:D15"/>
    <mergeCell ref="A16:D1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2026-09-17T13:46:11Z</dcterms:created>
  <dcterms:modified xsi:type="dcterms:W3CDTF">2026-09-17T13:46:11Z</dcterms:modified>
</cp:coreProperties>
</file>